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Desktop\"/>
    </mc:Choice>
  </mc:AlternateContent>
  <xr:revisionPtr revIDLastSave="0" documentId="8_{D9B0DABE-34A3-4361-BC7A-DE38D1627110}" xr6:coauthVersionLast="36" xr6:coauthVersionMax="36" xr10:uidLastSave="{00000000-0000-0000-0000-000000000000}"/>
  <bookViews>
    <workbookView xWindow="30315" yWindow="270" windowWidth="29760" windowHeight="13860" xr2:uid="{8F1FAD17-7995-4D1D-BADA-7ECA67ACDC0B}"/>
  </bookViews>
  <sheets>
    <sheet name="교육전문대학원 신입생 충원 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5" i="1" l="1"/>
  <c r="S24" i="1"/>
  <c r="S36" i="1"/>
  <c r="S17" i="1"/>
  <c r="S6" i="1"/>
  <c r="N52" i="1"/>
  <c r="K52" i="1"/>
  <c r="R51" i="1"/>
  <c r="M51" i="1"/>
  <c r="R50" i="1"/>
  <c r="M50" i="1"/>
  <c r="R49" i="1"/>
  <c r="M49" i="1"/>
  <c r="R48" i="1"/>
  <c r="M48" i="1"/>
  <c r="R47" i="1"/>
  <c r="M47" i="1"/>
  <c r="R46" i="1"/>
  <c r="M46" i="1"/>
  <c r="R45" i="1"/>
  <c r="R52" i="1" s="1"/>
  <c r="M45" i="1"/>
  <c r="M52" i="1" s="1"/>
  <c r="O44" i="1" l="1"/>
  <c r="N44" i="1"/>
  <c r="K44" i="1"/>
  <c r="I44" i="1"/>
  <c r="R43" i="1"/>
  <c r="M43" i="1"/>
  <c r="R42" i="1"/>
  <c r="M42" i="1"/>
  <c r="R41" i="1"/>
  <c r="M41" i="1"/>
  <c r="R40" i="1"/>
  <c r="M40" i="1"/>
  <c r="R39" i="1"/>
  <c r="M39" i="1"/>
  <c r="R38" i="1"/>
  <c r="M38" i="1"/>
  <c r="R37" i="1"/>
  <c r="M37" i="1"/>
  <c r="R36" i="1"/>
  <c r="R44" i="1" s="1"/>
  <c r="M36" i="1"/>
  <c r="M44" i="1" s="1"/>
  <c r="O35" i="1" l="1"/>
  <c r="N35" i="1"/>
  <c r="L35" i="1"/>
  <c r="K35" i="1"/>
  <c r="J35" i="1"/>
  <c r="I35" i="1"/>
  <c r="G35" i="1"/>
  <c r="F35" i="1"/>
  <c r="R34" i="1"/>
  <c r="M34" i="1"/>
  <c r="R33" i="1"/>
  <c r="M33" i="1"/>
  <c r="R32" i="1"/>
  <c r="M32" i="1"/>
  <c r="R31" i="1"/>
  <c r="M31" i="1"/>
  <c r="H31" i="1"/>
  <c r="R30" i="1"/>
  <c r="M30" i="1"/>
  <c r="H30" i="1"/>
  <c r="R29" i="1"/>
  <c r="M29" i="1"/>
  <c r="H29" i="1"/>
  <c r="R28" i="1"/>
  <c r="M28" i="1"/>
  <c r="H28" i="1"/>
  <c r="R27" i="1"/>
  <c r="M27" i="1"/>
  <c r="H27" i="1"/>
  <c r="R26" i="1"/>
  <c r="M26" i="1"/>
  <c r="H26" i="1"/>
  <c r="R25" i="1"/>
  <c r="M25" i="1"/>
  <c r="H25" i="1"/>
  <c r="R24" i="1"/>
  <c r="R35" i="1" s="1"/>
  <c r="M24" i="1"/>
  <c r="M35" i="1" s="1"/>
  <c r="H24" i="1"/>
  <c r="H35" i="1" l="1"/>
  <c r="O23" i="1"/>
  <c r="N23" i="1"/>
  <c r="K23" i="1"/>
  <c r="R22" i="1"/>
  <c r="M22" i="1"/>
  <c r="R21" i="1"/>
  <c r="M21" i="1"/>
  <c r="R20" i="1"/>
  <c r="M20" i="1"/>
  <c r="R19" i="1"/>
  <c r="M19" i="1"/>
  <c r="R18" i="1"/>
  <c r="M18" i="1"/>
  <c r="R17" i="1"/>
  <c r="M17" i="1"/>
  <c r="M23" i="1" l="1"/>
  <c r="R23" i="1"/>
  <c r="R15" i="1"/>
  <c r="R14" i="1"/>
  <c r="R13" i="1"/>
  <c r="R12" i="1"/>
  <c r="R11" i="1"/>
  <c r="R10" i="1"/>
  <c r="R9" i="1"/>
  <c r="R8" i="1"/>
  <c r="R7" i="1"/>
  <c r="R6" i="1"/>
  <c r="M15" i="1"/>
  <c r="M14" i="1"/>
  <c r="M13" i="1"/>
  <c r="M12" i="1"/>
  <c r="M11" i="1"/>
  <c r="M10" i="1"/>
  <c r="M9" i="1"/>
  <c r="M8" i="1"/>
  <c r="M7" i="1"/>
  <c r="M6" i="1"/>
  <c r="K16" i="1"/>
  <c r="N16" i="1"/>
  <c r="O16" i="1"/>
  <c r="R16" i="1" l="1"/>
  <c r="M16" i="1"/>
</calcChain>
</file>

<file path=xl/sharedStrings.xml><?xml version="1.0" encoding="utf-8"?>
<sst xmlns="http://schemas.openxmlformats.org/spreadsheetml/2006/main" count="79" uniqueCount="63">
  <si>
    <t>구분</t>
    <phoneticPr fontId="2" type="noConversion"/>
  </si>
  <si>
    <t>전공명</t>
    <phoneticPr fontId="2" type="noConversion"/>
  </si>
  <si>
    <t>양성
정원</t>
    <phoneticPr fontId="2" type="noConversion"/>
  </si>
  <si>
    <t>합계</t>
    <phoneticPr fontId="2" type="noConversion"/>
  </si>
  <si>
    <t>[단위: 명]</t>
    <phoneticPr fontId="2" type="noConversion"/>
  </si>
  <si>
    <t>전기</t>
    <phoneticPr fontId="2" type="noConversion"/>
  </si>
  <si>
    <t>후기</t>
    <phoneticPr fontId="2" type="noConversion"/>
  </si>
  <si>
    <t>소계</t>
    <phoneticPr fontId="2" type="noConversion"/>
  </si>
  <si>
    <t>전기
추가</t>
    <phoneticPr fontId="2" type="noConversion"/>
  </si>
  <si>
    <t>후기
추가</t>
    <phoneticPr fontId="2" type="noConversion"/>
  </si>
  <si>
    <t>신입생 충원</t>
    <phoneticPr fontId="2" type="noConversion"/>
  </si>
  <si>
    <t>'24학년도</t>
    <phoneticPr fontId="2" type="noConversion"/>
  </si>
  <si>
    <t>'25학년도</t>
    <phoneticPr fontId="2" type="noConversion"/>
  </si>
  <si>
    <t>'26학년도</t>
    <phoneticPr fontId="2" type="noConversion"/>
  </si>
  <si>
    <t>청주교육대학교
교육전문대학원</t>
    <phoneticPr fontId="2" type="noConversion"/>
  </si>
  <si>
    <t>윤리·인성교육</t>
  </si>
  <si>
    <t>초등국어교육</t>
  </si>
  <si>
    <t>수학교육</t>
  </si>
  <si>
    <t>융합과학과영재교육</t>
  </si>
  <si>
    <t>체육교육</t>
  </si>
  <si>
    <t>음악교육학</t>
  </si>
  <si>
    <t>심리·상담·특수교육</t>
  </si>
  <si>
    <t>교육학</t>
  </si>
  <si>
    <t>어린이영어융합교육</t>
  </si>
  <si>
    <t>유아및아동교육</t>
  </si>
  <si>
    <t>진주교육대학교
교육전문대학원</t>
    <phoneticPr fontId="2" type="noConversion"/>
  </si>
  <si>
    <t>사회과교육</t>
    <phoneticPr fontId="2" type="noConversion"/>
  </si>
  <si>
    <t>과학영재교육</t>
    <phoneticPr fontId="2" type="noConversion"/>
  </si>
  <si>
    <t>문화예술콘텐츠</t>
    <phoneticPr fontId="2" type="noConversion"/>
  </si>
  <si>
    <t>학교상담</t>
    <phoneticPr fontId="2" type="noConversion"/>
  </si>
  <si>
    <t>컴퓨터교육</t>
    <phoneticPr fontId="2" type="noConversion"/>
  </si>
  <si>
    <t>문화예술경영정책</t>
    <phoneticPr fontId="2" type="noConversion"/>
  </si>
  <si>
    <t>대구교육대학교
교육전문대학원</t>
    <phoneticPr fontId="2" type="noConversion"/>
  </si>
  <si>
    <t>특수통합·유아교육</t>
    <phoneticPr fontId="2" type="noConversion"/>
  </si>
  <si>
    <t>윤리인성교육</t>
    <phoneticPr fontId="2" type="noConversion"/>
  </si>
  <si>
    <t>초등국어교육</t>
    <phoneticPr fontId="2" type="noConversion"/>
  </si>
  <si>
    <t>초등수학교육</t>
    <phoneticPr fontId="2" type="noConversion"/>
  </si>
  <si>
    <t>초등과학교육</t>
    <phoneticPr fontId="2" type="noConversion"/>
  </si>
  <si>
    <t>초등체육교육</t>
    <phoneticPr fontId="2" type="noConversion"/>
  </si>
  <si>
    <t>초등영어교육</t>
    <phoneticPr fontId="2" type="noConversion"/>
  </si>
  <si>
    <t>AI교육</t>
    <phoneticPr fontId="2" type="noConversion"/>
  </si>
  <si>
    <t>실과교육</t>
    <phoneticPr fontId="2" type="noConversion"/>
  </si>
  <si>
    <t>교육행정</t>
    <phoneticPr fontId="2" type="noConversion"/>
  </si>
  <si>
    <t>광주교육대학교
교육전문대학원</t>
    <phoneticPr fontId="2" type="noConversion"/>
  </si>
  <si>
    <t>윤리철학교육</t>
    <phoneticPr fontId="2" type="noConversion"/>
  </si>
  <si>
    <r>
      <t>기후환경</t>
    </r>
    <r>
      <rPr>
        <sz val="11"/>
        <color theme="1"/>
        <rFont val="맑은 고딕"/>
        <family val="3"/>
        <charset val="129"/>
      </rPr>
      <t>·인권시민교육</t>
    </r>
    <phoneticPr fontId="2" type="noConversion"/>
  </si>
  <si>
    <t>과학교육</t>
    <phoneticPr fontId="2" type="noConversion"/>
  </si>
  <si>
    <t>체육교육</t>
    <phoneticPr fontId="2" type="noConversion"/>
  </si>
  <si>
    <t>교육과정과수업</t>
    <phoneticPr fontId="2" type="noConversion"/>
  </si>
  <si>
    <t>교육행정·정책</t>
    <phoneticPr fontId="2" type="noConversion"/>
  </si>
  <si>
    <t>교육심리·상담·특수교육</t>
    <phoneticPr fontId="2" type="noConversion"/>
  </si>
  <si>
    <t>공주교육대학교
교육전문대학원</t>
    <phoneticPr fontId="2" type="noConversion"/>
  </si>
  <si>
    <t>국어교육</t>
    <phoneticPr fontId="2" type="noConversion"/>
  </si>
  <si>
    <t>교육상담</t>
    <phoneticPr fontId="2" type="noConversion"/>
  </si>
  <si>
    <t>다문화교육</t>
    <phoneticPr fontId="2" type="noConversion"/>
  </si>
  <si>
    <t>상담심리</t>
    <phoneticPr fontId="2" type="noConversion"/>
  </si>
  <si>
    <t>아동청소년교육상담</t>
    <phoneticPr fontId="2" type="noConversion"/>
  </si>
  <si>
    <t>유아교육</t>
    <phoneticPr fontId="2" type="noConversion"/>
  </si>
  <si>
    <t>AI융합교육</t>
    <phoneticPr fontId="2" type="noConversion"/>
  </si>
  <si>
    <t>전국 교대 교육전문대학원(박사과정) 신입생 충원 현황</t>
    <phoneticPr fontId="2" type="noConversion"/>
  </si>
  <si>
    <t>충원
누계</t>
    <phoneticPr fontId="2" type="noConversion"/>
  </si>
  <si>
    <t>('25년) 30
(26년) 42</t>
    <phoneticPr fontId="2" type="noConversion"/>
  </si>
  <si>
    <t>※ 춘천교육대학교: 2025년 교육전문대학원 신설 신청 추진 중(대학의 최종 의사결정은 미완료)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</si>
</sst>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33CC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1" applyNumberFormat="1" applyFont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8" fillId="2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0" borderId="1" xfId="1" quotePrefix="1" applyNumberFormat="1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quotePrefix="1" applyFont="1" applyFill="1" applyBorder="1" applyAlignment="1">
      <alignment horizontal="center" vertical="center"/>
    </xf>
    <xf numFmtId="0" fontId="4" fillId="2" borderId="7" xfId="0" quotePrefix="1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D3AD-99B0-4F3D-B45B-C037F1E73C58}">
  <sheetPr>
    <pageSetUpPr fitToPage="1"/>
  </sheetPr>
  <dimension ref="A1:S100"/>
  <sheetViews>
    <sheetView tabSelected="1" zoomScale="85" zoomScaleNormal="85" workbookViewId="0">
      <pane ySplit="5" topLeftCell="A6" activePane="bottomLeft" state="frozen"/>
      <selection pane="bottomLeft" sqref="A1:S1"/>
    </sheetView>
  </sheetViews>
  <sheetFormatPr defaultRowHeight="16.5" x14ac:dyDescent="0.3"/>
  <cols>
    <col min="1" max="1" width="15.375" bestFit="1" customWidth="1"/>
    <col min="2" max="2" width="10.5" customWidth="1"/>
    <col min="3" max="3" width="22.25" bestFit="1" customWidth="1"/>
    <col min="4" max="19" width="6.625" customWidth="1"/>
  </cols>
  <sheetData>
    <row r="1" spans="1:19" ht="38.25" customHeight="1" x14ac:dyDescent="0.3">
      <c r="A1" s="22" t="s">
        <v>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24.95" customHeight="1" x14ac:dyDescent="0.3">
      <c r="R2" s="3"/>
      <c r="S2" s="3" t="s">
        <v>4</v>
      </c>
    </row>
    <row r="3" spans="1:19" ht="20.100000000000001" customHeight="1" x14ac:dyDescent="0.3">
      <c r="A3" s="23" t="s">
        <v>0</v>
      </c>
      <c r="B3" s="24" t="s">
        <v>2</v>
      </c>
      <c r="C3" s="23" t="s">
        <v>1</v>
      </c>
      <c r="D3" s="16" t="s">
        <v>10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7" t="s">
        <v>60</v>
      </c>
    </row>
    <row r="4" spans="1:19" ht="20.100000000000001" customHeight="1" x14ac:dyDescent="0.3">
      <c r="A4" s="20"/>
      <c r="B4" s="25"/>
      <c r="C4" s="20"/>
      <c r="D4" s="27" t="s">
        <v>11</v>
      </c>
      <c r="E4" s="28"/>
      <c r="F4" s="28"/>
      <c r="G4" s="28"/>
      <c r="H4" s="29"/>
      <c r="I4" s="27" t="s">
        <v>12</v>
      </c>
      <c r="J4" s="28"/>
      <c r="K4" s="28"/>
      <c r="L4" s="28"/>
      <c r="M4" s="29"/>
      <c r="N4" s="27" t="s">
        <v>13</v>
      </c>
      <c r="O4" s="28"/>
      <c r="P4" s="28"/>
      <c r="Q4" s="28"/>
      <c r="R4" s="29"/>
      <c r="S4" s="16"/>
    </row>
    <row r="5" spans="1:19" ht="36" customHeight="1" x14ac:dyDescent="0.3">
      <c r="A5" s="21"/>
      <c r="B5" s="26"/>
      <c r="C5" s="21"/>
      <c r="D5" s="5" t="s">
        <v>5</v>
      </c>
      <c r="E5" s="6" t="s">
        <v>8</v>
      </c>
      <c r="F5" s="5" t="s">
        <v>6</v>
      </c>
      <c r="G5" s="6" t="s">
        <v>9</v>
      </c>
      <c r="H5" s="5" t="s">
        <v>3</v>
      </c>
      <c r="I5" s="5" t="s">
        <v>5</v>
      </c>
      <c r="J5" s="6" t="s">
        <v>8</v>
      </c>
      <c r="K5" s="5" t="s">
        <v>6</v>
      </c>
      <c r="L5" s="6" t="s">
        <v>9</v>
      </c>
      <c r="M5" s="5" t="s">
        <v>3</v>
      </c>
      <c r="N5" s="5" t="s">
        <v>5</v>
      </c>
      <c r="O5" s="6" t="s">
        <v>8</v>
      </c>
      <c r="P5" s="5" t="s">
        <v>6</v>
      </c>
      <c r="Q5" s="6" t="s">
        <v>9</v>
      </c>
      <c r="R5" s="5" t="s">
        <v>3</v>
      </c>
      <c r="S5" s="16"/>
    </row>
    <row r="6" spans="1:19" ht="24.95" customHeight="1" x14ac:dyDescent="0.3">
      <c r="A6" s="17" t="s">
        <v>14</v>
      </c>
      <c r="B6" s="15">
        <v>33</v>
      </c>
      <c r="C6" s="1" t="s">
        <v>15</v>
      </c>
      <c r="D6" s="2"/>
      <c r="E6" s="2"/>
      <c r="F6" s="2"/>
      <c r="G6" s="2"/>
      <c r="H6" s="7"/>
      <c r="I6" s="2"/>
      <c r="J6" s="2"/>
      <c r="K6" s="4">
        <v>4</v>
      </c>
      <c r="L6" s="2"/>
      <c r="M6" s="7">
        <f>SUM(I6:L6)</f>
        <v>4</v>
      </c>
      <c r="N6" s="4">
        <v>0</v>
      </c>
      <c r="O6" s="4">
        <v>0</v>
      </c>
      <c r="P6" s="2"/>
      <c r="Q6" s="2"/>
      <c r="R6" s="7">
        <f>SUM(N6:Q6)</f>
        <v>0</v>
      </c>
      <c r="S6" s="19">
        <f>SUM(H16,M16,R16)</f>
        <v>54</v>
      </c>
    </row>
    <row r="7" spans="1:19" ht="24.95" customHeight="1" x14ac:dyDescent="0.3">
      <c r="A7" s="16"/>
      <c r="B7" s="15"/>
      <c r="C7" s="1" t="s">
        <v>16</v>
      </c>
      <c r="D7" s="2"/>
      <c r="E7" s="2"/>
      <c r="F7" s="2"/>
      <c r="G7" s="2"/>
      <c r="H7" s="7"/>
      <c r="I7" s="2"/>
      <c r="J7" s="2"/>
      <c r="K7" s="4">
        <v>0</v>
      </c>
      <c r="L7" s="2"/>
      <c r="M7" s="7">
        <f t="shared" ref="M7:M15" si="0">SUM(I7:L7)</f>
        <v>0</v>
      </c>
      <c r="N7" s="4">
        <v>3</v>
      </c>
      <c r="O7" s="4">
        <v>1</v>
      </c>
      <c r="P7" s="2"/>
      <c r="Q7" s="2"/>
      <c r="R7" s="7">
        <f t="shared" ref="R7:R15" si="1">SUM(N7:Q7)</f>
        <v>4</v>
      </c>
      <c r="S7" s="20"/>
    </row>
    <row r="8" spans="1:19" ht="24.95" customHeight="1" x14ac:dyDescent="0.3">
      <c r="A8" s="16"/>
      <c r="B8" s="15"/>
      <c r="C8" s="1" t="s">
        <v>17</v>
      </c>
      <c r="D8" s="2"/>
      <c r="E8" s="2"/>
      <c r="F8" s="2"/>
      <c r="G8" s="2"/>
      <c r="H8" s="7"/>
      <c r="I8" s="2"/>
      <c r="J8" s="2"/>
      <c r="K8" s="4">
        <v>3</v>
      </c>
      <c r="L8" s="2"/>
      <c r="M8" s="7">
        <f t="shared" si="0"/>
        <v>3</v>
      </c>
      <c r="N8" s="4">
        <v>0</v>
      </c>
      <c r="O8" s="4">
        <v>0</v>
      </c>
      <c r="P8" s="2"/>
      <c r="Q8" s="2"/>
      <c r="R8" s="7">
        <f t="shared" si="1"/>
        <v>0</v>
      </c>
      <c r="S8" s="20"/>
    </row>
    <row r="9" spans="1:19" ht="24.95" customHeight="1" x14ac:dyDescent="0.3">
      <c r="A9" s="16"/>
      <c r="B9" s="15"/>
      <c r="C9" s="1" t="s">
        <v>18</v>
      </c>
      <c r="D9" s="2"/>
      <c r="E9" s="2"/>
      <c r="F9" s="2"/>
      <c r="G9" s="2"/>
      <c r="H9" s="7"/>
      <c r="I9" s="2"/>
      <c r="J9" s="2"/>
      <c r="K9" s="4">
        <v>1</v>
      </c>
      <c r="L9" s="2"/>
      <c r="M9" s="7">
        <f t="shared" si="0"/>
        <v>1</v>
      </c>
      <c r="N9" s="4">
        <v>3</v>
      </c>
      <c r="O9" s="4">
        <v>0</v>
      </c>
      <c r="P9" s="2"/>
      <c r="Q9" s="2"/>
      <c r="R9" s="7">
        <f t="shared" si="1"/>
        <v>3</v>
      </c>
      <c r="S9" s="20"/>
    </row>
    <row r="10" spans="1:19" ht="24.95" customHeight="1" x14ac:dyDescent="0.3">
      <c r="A10" s="16"/>
      <c r="B10" s="15"/>
      <c r="C10" s="1" t="s">
        <v>19</v>
      </c>
      <c r="D10" s="2"/>
      <c r="E10" s="2"/>
      <c r="F10" s="2"/>
      <c r="G10" s="2"/>
      <c r="H10" s="7"/>
      <c r="I10" s="2"/>
      <c r="J10" s="2"/>
      <c r="K10" s="4">
        <v>0</v>
      </c>
      <c r="L10" s="2"/>
      <c r="M10" s="7">
        <f t="shared" si="0"/>
        <v>0</v>
      </c>
      <c r="N10" s="4">
        <v>0</v>
      </c>
      <c r="O10" s="4">
        <v>0</v>
      </c>
      <c r="P10" s="2"/>
      <c r="Q10" s="2"/>
      <c r="R10" s="7">
        <f t="shared" si="1"/>
        <v>0</v>
      </c>
      <c r="S10" s="20"/>
    </row>
    <row r="11" spans="1:19" ht="24.95" customHeight="1" x14ac:dyDescent="0.3">
      <c r="A11" s="16"/>
      <c r="B11" s="15"/>
      <c r="C11" s="1" t="s">
        <v>20</v>
      </c>
      <c r="D11" s="2"/>
      <c r="E11" s="2"/>
      <c r="F11" s="2"/>
      <c r="G11" s="2"/>
      <c r="H11" s="7"/>
      <c r="I11" s="2"/>
      <c r="J11" s="2"/>
      <c r="K11" s="4">
        <v>0</v>
      </c>
      <c r="L11" s="2"/>
      <c r="M11" s="7">
        <f t="shared" si="0"/>
        <v>0</v>
      </c>
      <c r="N11" s="4">
        <v>0</v>
      </c>
      <c r="O11" s="4">
        <v>0</v>
      </c>
      <c r="P11" s="2"/>
      <c r="Q11" s="2"/>
      <c r="R11" s="7">
        <f t="shared" si="1"/>
        <v>0</v>
      </c>
      <c r="S11" s="20"/>
    </row>
    <row r="12" spans="1:19" ht="24.95" customHeight="1" x14ac:dyDescent="0.3">
      <c r="A12" s="16"/>
      <c r="B12" s="15"/>
      <c r="C12" s="1" t="s">
        <v>21</v>
      </c>
      <c r="D12" s="2"/>
      <c r="E12" s="2"/>
      <c r="F12" s="2"/>
      <c r="G12" s="2"/>
      <c r="H12" s="7"/>
      <c r="I12" s="2"/>
      <c r="J12" s="2"/>
      <c r="K12" s="4">
        <v>16</v>
      </c>
      <c r="L12" s="2"/>
      <c r="M12" s="7">
        <f t="shared" si="0"/>
        <v>16</v>
      </c>
      <c r="N12" s="4">
        <v>7</v>
      </c>
      <c r="O12" s="4">
        <v>1</v>
      </c>
      <c r="P12" s="2"/>
      <c r="Q12" s="2"/>
      <c r="R12" s="7">
        <f t="shared" si="1"/>
        <v>8</v>
      </c>
      <c r="S12" s="20"/>
    </row>
    <row r="13" spans="1:19" ht="24.95" customHeight="1" x14ac:dyDescent="0.3">
      <c r="A13" s="16"/>
      <c r="B13" s="15"/>
      <c r="C13" s="1" t="s">
        <v>22</v>
      </c>
      <c r="D13" s="2"/>
      <c r="E13" s="2"/>
      <c r="F13" s="2"/>
      <c r="G13" s="2"/>
      <c r="H13" s="7"/>
      <c r="I13" s="2"/>
      <c r="J13" s="2"/>
      <c r="K13" s="4">
        <v>3</v>
      </c>
      <c r="L13" s="2"/>
      <c r="M13" s="7">
        <f t="shared" si="0"/>
        <v>3</v>
      </c>
      <c r="N13" s="4">
        <v>3</v>
      </c>
      <c r="O13" s="4">
        <v>1</v>
      </c>
      <c r="P13" s="2"/>
      <c r="Q13" s="2"/>
      <c r="R13" s="7">
        <f t="shared" si="1"/>
        <v>4</v>
      </c>
      <c r="S13" s="20"/>
    </row>
    <row r="14" spans="1:19" ht="24.95" customHeight="1" x14ac:dyDescent="0.3">
      <c r="A14" s="16"/>
      <c r="B14" s="15"/>
      <c r="C14" s="1" t="s">
        <v>23</v>
      </c>
      <c r="D14" s="2"/>
      <c r="E14" s="2"/>
      <c r="F14" s="2"/>
      <c r="G14" s="2"/>
      <c r="H14" s="7"/>
      <c r="I14" s="2"/>
      <c r="J14" s="2"/>
      <c r="K14" s="4">
        <v>0</v>
      </c>
      <c r="L14" s="2"/>
      <c r="M14" s="7">
        <f t="shared" si="0"/>
        <v>0</v>
      </c>
      <c r="N14" s="4">
        <v>3</v>
      </c>
      <c r="O14" s="4">
        <v>0</v>
      </c>
      <c r="P14" s="2"/>
      <c r="Q14" s="2"/>
      <c r="R14" s="7">
        <f t="shared" si="1"/>
        <v>3</v>
      </c>
      <c r="S14" s="20"/>
    </row>
    <row r="15" spans="1:19" ht="24.95" customHeight="1" x14ac:dyDescent="0.3">
      <c r="A15" s="16"/>
      <c r="B15" s="15"/>
      <c r="C15" s="1" t="s">
        <v>24</v>
      </c>
      <c r="D15" s="2"/>
      <c r="E15" s="2"/>
      <c r="F15" s="2"/>
      <c r="G15" s="2"/>
      <c r="H15" s="7"/>
      <c r="I15" s="2"/>
      <c r="J15" s="2"/>
      <c r="K15" s="4">
        <v>5</v>
      </c>
      <c r="L15" s="2"/>
      <c r="M15" s="7">
        <f t="shared" si="0"/>
        <v>5</v>
      </c>
      <c r="N15" s="4">
        <v>0</v>
      </c>
      <c r="O15" s="4">
        <v>0</v>
      </c>
      <c r="P15" s="2"/>
      <c r="Q15" s="2"/>
      <c r="R15" s="7">
        <f t="shared" si="1"/>
        <v>0</v>
      </c>
      <c r="S15" s="20"/>
    </row>
    <row r="16" spans="1:19" ht="24.95" customHeight="1" x14ac:dyDescent="0.3">
      <c r="A16" s="16"/>
      <c r="B16" s="15"/>
      <c r="C16" s="8" t="s">
        <v>7</v>
      </c>
      <c r="D16" s="7"/>
      <c r="E16" s="7"/>
      <c r="F16" s="7"/>
      <c r="G16" s="7"/>
      <c r="H16" s="7"/>
      <c r="I16" s="7"/>
      <c r="J16" s="7"/>
      <c r="K16" s="7">
        <f t="shared" ref="K16:O16" si="2">SUM(K6:K15)</f>
        <v>32</v>
      </c>
      <c r="L16" s="7"/>
      <c r="M16" s="7">
        <f>SUM(M6:M15)</f>
        <v>32</v>
      </c>
      <c r="N16" s="7">
        <f t="shared" si="2"/>
        <v>19</v>
      </c>
      <c r="O16" s="7">
        <f t="shared" si="2"/>
        <v>3</v>
      </c>
      <c r="P16" s="7"/>
      <c r="Q16" s="7"/>
      <c r="R16" s="7">
        <f>SUM(R6:R15)</f>
        <v>22</v>
      </c>
      <c r="S16" s="21"/>
    </row>
    <row r="17" spans="1:19" ht="24.95" customHeight="1" x14ac:dyDescent="0.3">
      <c r="A17" s="17" t="s">
        <v>25</v>
      </c>
      <c r="B17" s="15">
        <v>30</v>
      </c>
      <c r="C17" s="1" t="s">
        <v>26</v>
      </c>
      <c r="D17" s="4"/>
      <c r="E17" s="4"/>
      <c r="F17" s="4"/>
      <c r="G17" s="4"/>
      <c r="H17" s="7"/>
      <c r="I17" s="4"/>
      <c r="J17" s="4"/>
      <c r="K17" s="4">
        <v>2</v>
      </c>
      <c r="L17" s="4"/>
      <c r="M17" s="7">
        <f>SUM(I17:L17)</f>
        <v>2</v>
      </c>
      <c r="N17" s="4">
        <v>0</v>
      </c>
      <c r="O17" s="4">
        <v>2</v>
      </c>
      <c r="P17" s="4"/>
      <c r="Q17" s="4"/>
      <c r="R17" s="7">
        <f>SUM(N17:Q17)</f>
        <v>2</v>
      </c>
      <c r="S17" s="19">
        <f>SUM(H23,M23,R23)</f>
        <v>48</v>
      </c>
    </row>
    <row r="18" spans="1:19" ht="24.95" customHeight="1" x14ac:dyDescent="0.3">
      <c r="A18" s="16"/>
      <c r="B18" s="15"/>
      <c r="C18" s="1" t="s">
        <v>27</v>
      </c>
      <c r="D18" s="4"/>
      <c r="E18" s="4"/>
      <c r="F18" s="4"/>
      <c r="G18" s="4"/>
      <c r="H18" s="7"/>
      <c r="I18" s="4"/>
      <c r="J18" s="4"/>
      <c r="K18" s="4">
        <v>0</v>
      </c>
      <c r="L18" s="4"/>
      <c r="M18" s="7">
        <f t="shared" ref="M18:M22" si="3">SUM(I18:L18)</f>
        <v>0</v>
      </c>
      <c r="N18" s="4">
        <v>0</v>
      </c>
      <c r="O18" s="4">
        <v>2</v>
      </c>
      <c r="P18" s="4"/>
      <c r="Q18" s="4"/>
      <c r="R18" s="7">
        <f t="shared" ref="R18:R22" si="4">SUM(N18:Q18)</f>
        <v>2</v>
      </c>
      <c r="S18" s="20"/>
    </row>
    <row r="19" spans="1:19" ht="24.95" customHeight="1" x14ac:dyDescent="0.3">
      <c r="A19" s="16"/>
      <c r="B19" s="15"/>
      <c r="C19" s="1" t="s">
        <v>28</v>
      </c>
      <c r="D19" s="4"/>
      <c r="E19" s="4"/>
      <c r="F19" s="4"/>
      <c r="G19" s="4"/>
      <c r="H19" s="7"/>
      <c r="I19" s="4"/>
      <c r="J19" s="4"/>
      <c r="K19" s="4">
        <v>8</v>
      </c>
      <c r="L19" s="4"/>
      <c r="M19" s="7">
        <f t="shared" si="3"/>
        <v>8</v>
      </c>
      <c r="N19" s="4">
        <v>4</v>
      </c>
      <c r="O19" s="4">
        <v>0</v>
      </c>
      <c r="P19" s="4"/>
      <c r="Q19" s="4"/>
      <c r="R19" s="7">
        <f t="shared" si="4"/>
        <v>4</v>
      </c>
      <c r="S19" s="20"/>
    </row>
    <row r="20" spans="1:19" ht="24.95" customHeight="1" x14ac:dyDescent="0.3">
      <c r="A20" s="16"/>
      <c r="B20" s="15"/>
      <c r="C20" s="1" t="s">
        <v>29</v>
      </c>
      <c r="D20" s="4"/>
      <c r="E20" s="4"/>
      <c r="F20" s="4"/>
      <c r="G20" s="4"/>
      <c r="H20" s="7"/>
      <c r="I20" s="4"/>
      <c r="J20" s="4"/>
      <c r="K20" s="4">
        <v>5</v>
      </c>
      <c r="L20" s="4"/>
      <c r="M20" s="7">
        <f t="shared" si="3"/>
        <v>5</v>
      </c>
      <c r="N20" s="4">
        <v>6</v>
      </c>
      <c r="O20" s="4">
        <v>0</v>
      </c>
      <c r="P20" s="4"/>
      <c r="Q20" s="4"/>
      <c r="R20" s="7">
        <f t="shared" si="4"/>
        <v>6</v>
      </c>
      <c r="S20" s="20"/>
    </row>
    <row r="21" spans="1:19" ht="24.95" customHeight="1" x14ac:dyDescent="0.3">
      <c r="A21" s="16"/>
      <c r="B21" s="15"/>
      <c r="C21" s="1" t="s">
        <v>30</v>
      </c>
      <c r="D21" s="4"/>
      <c r="E21" s="4"/>
      <c r="F21" s="4"/>
      <c r="G21" s="4"/>
      <c r="H21" s="7"/>
      <c r="I21" s="4"/>
      <c r="J21" s="4"/>
      <c r="K21" s="4">
        <v>5</v>
      </c>
      <c r="L21" s="4"/>
      <c r="M21" s="7">
        <f t="shared" si="3"/>
        <v>5</v>
      </c>
      <c r="N21" s="4">
        <v>2</v>
      </c>
      <c r="O21" s="4">
        <v>0</v>
      </c>
      <c r="P21" s="4"/>
      <c r="Q21" s="4"/>
      <c r="R21" s="7">
        <f t="shared" si="4"/>
        <v>2</v>
      </c>
      <c r="S21" s="20"/>
    </row>
    <row r="22" spans="1:19" ht="24.95" customHeight="1" x14ac:dyDescent="0.3">
      <c r="A22" s="16"/>
      <c r="B22" s="15"/>
      <c r="C22" s="1" t="s">
        <v>31</v>
      </c>
      <c r="D22" s="4"/>
      <c r="E22" s="4"/>
      <c r="F22" s="4"/>
      <c r="G22" s="4"/>
      <c r="H22" s="7"/>
      <c r="I22" s="4"/>
      <c r="J22" s="4"/>
      <c r="K22" s="4">
        <v>5</v>
      </c>
      <c r="L22" s="4"/>
      <c r="M22" s="7">
        <f t="shared" si="3"/>
        <v>5</v>
      </c>
      <c r="N22" s="4">
        <v>7</v>
      </c>
      <c r="O22" s="4">
        <v>0</v>
      </c>
      <c r="P22" s="4"/>
      <c r="Q22" s="4"/>
      <c r="R22" s="7">
        <f t="shared" si="4"/>
        <v>7</v>
      </c>
      <c r="S22" s="20"/>
    </row>
    <row r="23" spans="1:19" ht="24.95" customHeight="1" x14ac:dyDescent="0.3">
      <c r="A23" s="16"/>
      <c r="B23" s="15"/>
      <c r="C23" s="9" t="s">
        <v>7</v>
      </c>
      <c r="D23" s="7"/>
      <c r="E23" s="7"/>
      <c r="F23" s="7"/>
      <c r="G23" s="7"/>
      <c r="H23" s="7"/>
      <c r="I23" s="7"/>
      <c r="J23" s="7"/>
      <c r="K23" s="7">
        <f t="shared" ref="K23:R23" si="5">SUM(K17:K22)</f>
        <v>25</v>
      </c>
      <c r="L23" s="7"/>
      <c r="M23" s="7">
        <f t="shared" si="5"/>
        <v>25</v>
      </c>
      <c r="N23" s="7">
        <f t="shared" si="5"/>
        <v>19</v>
      </c>
      <c r="O23" s="7">
        <f t="shared" si="5"/>
        <v>4</v>
      </c>
      <c r="P23" s="7"/>
      <c r="Q23" s="7"/>
      <c r="R23" s="7">
        <f t="shared" si="5"/>
        <v>23</v>
      </c>
      <c r="S23" s="21"/>
    </row>
    <row r="24" spans="1:19" ht="24.95" customHeight="1" x14ac:dyDescent="0.3">
      <c r="A24" s="17" t="s">
        <v>32</v>
      </c>
      <c r="B24" s="18" t="s">
        <v>61</v>
      </c>
      <c r="C24" s="1" t="s">
        <v>33</v>
      </c>
      <c r="D24" s="4"/>
      <c r="E24" s="4"/>
      <c r="F24" s="4">
        <v>4</v>
      </c>
      <c r="G24" s="4">
        <v>0</v>
      </c>
      <c r="H24" s="7">
        <f>SUM(D24:G24)</f>
        <v>4</v>
      </c>
      <c r="I24" s="4">
        <v>3</v>
      </c>
      <c r="J24" s="4">
        <v>4</v>
      </c>
      <c r="K24" s="4">
        <v>0</v>
      </c>
      <c r="L24" s="4">
        <v>0</v>
      </c>
      <c r="M24" s="7">
        <f>SUM(I24:L24)</f>
        <v>7</v>
      </c>
      <c r="N24" s="4">
        <v>6</v>
      </c>
      <c r="O24" s="4">
        <v>3</v>
      </c>
      <c r="P24" s="4"/>
      <c r="Q24" s="4"/>
      <c r="R24" s="7">
        <f>SUM(N24:Q24)</f>
        <v>9</v>
      </c>
      <c r="S24" s="19">
        <f>SUM(H35,M35,R35)</f>
        <v>90</v>
      </c>
    </row>
    <row r="25" spans="1:19" ht="24.95" customHeight="1" x14ac:dyDescent="0.3">
      <c r="A25" s="16"/>
      <c r="B25" s="15"/>
      <c r="C25" s="1" t="s">
        <v>34</v>
      </c>
      <c r="D25" s="4"/>
      <c r="E25" s="4"/>
      <c r="F25" s="4">
        <v>5</v>
      </c>
      <c r="G25" s="4">
        <v>0</v>
      </c>
      <c r="H25" s="7">
        <f t="shared" ref="H25:H31" si="6">SUM(D25:G25)</f>
        <v>5</v>
      </c>
      <c r="I25" s="4">
        <v>1</v>
      </c>
      <c r="J25" s="4">
        <v>2</v>
      </c>
      <c r="K25" s="4">
        <v>0</v>
      </c>
      <c r="L25" s="4">
        <v>1</v>
      </c>
      <c r="M25" s="7">
        <f t="shared" ref="M25:M34" si="7">SUM(I25:L25)</f>
        <v>4</v>
      </c>
      <c r="N25" s="4">
        <v>0</v>
      </c>
      <c r="O25" s="4">
        <v>6</v>
      </c>
      <c r="P25" s="4"/>
      <c r="Q25" s="4"/>
      <c r="R25" s="7">
        <f t="shared" ref="R25:R34" si="8">SUM(N25:Q25)</f>
        <v>6</v>
      </c>
      <c r="S25" s="20"/>
    </row>
    <row r="26" spans="1:19" ht="24.95" customHeight="1" x14ac:dyDescent="0.3">
      <c r="A26" s="16"/>
      <c r="B26" s="15"/>
      <c r="C26" s="1" t="s">
        <v>35</v>
      </c>
      <c r="D26" s="4"/>
      <c r="E26" s="4"/>
      <c r="F26" s="4">
        <v>2</v>
      </c>
      <c r="G26" s="4">
        <v>0</v>
      </c>
      <c r="H26" s="7">
        <f t="shared" si="6"/>
        <v>2</v>
      </c>
      <c r="I26" s="4">
        <v>0</v>
      </c>
      <c r="J26" s="4">
        <v>2</v>
      </c>
      <c r="K26" s="4">
        <v>1</v>
      </c>
      <c r="L26" s="4">
        <v>0</v>
      </c>
      <c r="M26" s="7">
        <f t="shared" si="7"/>
        <v>3</v>
      </c>
      <c r="N26" s="4">
        <v>1</v>
      </c>
      <c r="O26" s="4">
        <v>0</v>
      </c>
      <c r="P26" s="4"/>
      <c r="Q26" s="4"/>
      <c r="R26" s="7">
        <f t="shared" si="8"/>
        <v>1</v>
      </c>
      <c r="S26" s="20"/>
    </row>
    <row r="27" spans="1:19" ht="24.95" customHeight="1" x14ac:dyDescent="0.3">
      <c r="A27" s="16"/>
      <c r="B27" s="15"/>
      <c r="C27" s="1" t="s">
        <v>36</v>
      </c>
      <c r="D27" s="4"/>
      <c r="E27" s="4"/>
      <c r="F27" s="4">
        <v>2</v>
      </c>
      <c r="G27" s="4">
        <v>1</v>
      </c>
      <c r="H27" s="7">
        <f t="shared" si="6"/>
        <v>3</v>
      </c>
      <c r="I27" s="4">
        <v>0</v>
      </c>
      <c r="J27" s="4">
        <v>2</v>
      </c>
      <c r="K27" s="4">
        <v>2</v>
      </c>
      <c r="L27" s="4">
        <v>1</v>
      </c>
      <c r="M27" s="7">
        <f t="shared" si="7"/>
        <v>5</v>
      </c>
      <c r="N27" s="4">
        <v>0</v>
      </c>
      <c r="O27" s="4">
        <v>1</v>
      </c>
      <c r="P27" s="4"/>
      <c r="Q27" s="4"/>
      <c r="R27" s="7">
        <f t="shared" si="8"/>
        <v>1</v>
      </c>
      <c r="S27" s="20"/>
    </row>
    <row r="28" spans="1:19" ht="24.95" customHeight="1" x14ac:dyDescent="0.3">
      <c r="A28" s="16"/>
      <c r="B28" s="15"/>
      <c r="C28" s="1" t="s">
        <v>37</v>
      </c>
      <c r="D28" s="4"/>
      <c r="E28" s="4"/>
      <c r="F28" s="4">
        <v>0</v>
      </c>
      <c r="G28" s="4">
        <v>1</v>
      </c>
      <c r="H28" s="7">
        <f t="shared" si="6"/>
        <v>1</v>
      </c>
      <c r="I28" s="4">
        <v>0</v>
      </c>
      <c r="J28" s="4">
        <v>1</v>
      </c>
      <c r="K28" s="4">
        <v>0</v>
      </c>
      <c r="L28" s="4">
        <v>0</v>
      </c>
      <c r="M28" s="7">
        <f t="shared" si="7"/>
        <v>1</v>
      </c>
      <c r="N28" s="4">
        <v>0</v>
      </c>
      <c r="O28" s="4">
        <v>0</v>
      </c>
      <c r="P28" s="4"/>
      <c r="Q28" s="4"/>
      <c r="R28" s="7">
        <f t="shared" si="8"/>
        <v>0</v>
      </c>
      <c r="S28" s="20"/>
    </row>
    <row r="29" spans="1:19" ht="24.95" customHeight="1" x14ac:dyDescent="0.3">
      <c r="A29" s="16"/>
      <c r="B29" s="15"/>
      <c r="C29" s="1" t="s">
        <v>38</v>
      </c>
      <c r="D29" s="4"/>
      <c r="E29" s="4"/>
      <c r="F29" s="4">
        <v>1</v>
      </c>
      <c r="G29" s="4">
        <v>1</v>
      </c>
      <c r="H29" s="7">
        <f t="shared" si="6"/>
        <v>2</v>
      </c>
      <c r="I29" s="4">
        <v>1</v>
      </c>
      <c r="J29" s="4">
        <v>0</v>
      </c>
      <c r="K29" s="4">
        <v>0</v>
      </c>
      <c r="L29" s="4">
        <v>0</v>
      </c>
      <c r="M29" s="7">
        <f t="shared" si="7"/>
        <v>1</v>
      </c>
      <c r="N29" s="4">
        <v>0</v>
      </c>
      <c r="O29" s="4">
        <v>1</v>
      </c>
      <c r="P29" s="4"/>
      <c r="Q29" s="4"/>
      <c r="R29" s="7">
        <f t="shared" si="8"/>
        <v>1</v>
      </c>
      <c r="S29" s="20"/>
    </row>
    <row r="30" spans="1:19" ht="24.95" customHeight="1" x14ac:dyDescent="0.3">
      <c r="A30" s="16"/>
      <c r="B30" s="15"/>
      <c r="C30" s="1" t="s">
        <v>39</v>
      </c>
      <c r="D30" s="4"/>
      <c r="E30" s="4"/>
      <c r="F30" s="4">
        <v>2</v>
      </c>
      <c r="G30" s="4">
        <v>0</v>
      </c>
      <c r="H30" s="7">
        <f t="shared" si="6"/>
        <v>2</v>
      </c>
      <c r="I30" s="4">
        <v>1</v>
      </c>
      <c r="J30" s="4">
        <v>1</v>
      </c>
      <c r="K30" s="4">
        <v>0</v>
      </c>
      <c r="L30" s="4">
        <v>0</v>
      </c>
      <c r="M30" s="7">
        <f t="shared" si="7"/>
        <v>2</v>
      </c>
      <c r="N30" s="4">
        <v>0</v>
      </c>
      <c r="O30" s="4">
        <v>0</v>
      </c>
      <c r="P30" s="4"/>
      <c r="Q30" s="4"/>
      <c r="R30" s="7">
        <f t="shared" si="8"/>
        <v>0</v>
      </c>
      <c r="S30" s="20"/>
    </row>
    <row r="31" spans="1:19" ht="24.95" customHeight="1" x14ac:dyDescent="0.3">
      <c r="A31" s="16"/>
      <c r="B31" s="15"/>
      <c r="C31" s="1" t="s">
        <v>40</v>
      </c>
      <c r="D31" s="4"/>
      <c r="E31" s="4"/>
      <c r="F31" s="4">
        <v>5</v>
      </c>
      <c r="G31" s="4">
        <v>0</v>
      </c>
      <c r="H31" s="7">
        <f t="shared" si="6"/>
        <v>5</v>
      </c>
      <c r="I31" s="4">
        <v>1</v>
      </c>
      <c r="J31" s="4">
        <v>8</v>
      </c>
      <c r="K31" s="4">
        <v>0</v>
      </c>
      <c r="L31" s="4">
        <v>0</v>
      </c>
      <c r="M31" s="7">
        <f t="shared" si="7"/>
        <v>9</v>
      </c>
      <c r="N31" s="4">
        <v>5</v>
      </c>
      <c r="O31" s="4">
        <v>2</v>
      </c>
      <c r="P31" s="4"/>
      <c r="Q31" s="4"/>
      <c r="R31" s="7">
        <f t="shared" si="8"/>
        <v>7</v>
      </c>
      <c r="S31" s="20"/>
    </row>
    <row r="32" spans="1:19" ht="24.95" customHeight="1" x14ac:dyDescent="0.3">
      <c r="A32" s="16"/>
      <c r="B32" s="15"/>
      <c r="C32" s="1" t="s">
        <v>26</v>
      </c>
      <c r="D32" s="4"/>
      <c r="E32" s="4"/>
      <c r="F32" s="4"/>
      <c r="G32" s="4"/>
      <c r="H32" s="7"/>
      <c r="I32" s="4"/>
      <c r="J32" s="4"/>
      <c r="K32" s="4">
        <v>1</v>
      </c>
      <c r="L32" s="4">
        <v>0</v>
      </c>
      <c r="M32" s="7">
        <f t="shared" si="7"/>
        <v>1</v>
      </c>
      <c r="N32" s="4">
        <v>0</v>
      </c>
      <c r="O32" s="4">
        <v>2</v>
      </c>
      <c r="P32" s="4"/>
      <c r="Q32" s="4"/>
      <c r="R32" s="7">
        <f t="shared" si="8"/>
        <v>2</v>
      </c>
      <c r="S32" s="20"/>
    </row>
    <row r="33" spans="1:19" ht="24.95" customHeight="1" x14ac:dyDescent="0.3">
      <c r="A33" s="16"/>
      <c r="B33" s="15"/>
      <c r="C33" s="1" t="s">
        <v>41</v>
      </c>
      <c r="D33" s="4"/>
      <c r="E33" s="4"/>
      <c r="F33" s="4"/>
      <c r="G33" s="4"/>
      <c r="H33" s="7"/>
      <c r="I33" s="4"/>
      <c r="J33" s="4"/>
      <c r="K33" s="4">
        <v>0</v>
      </c>
      <c r="L33" s="4">
        <v>2</v>
      </c>
      <c r="M33" s="7">
        <f t="shared" si="7"/>
        <v>2</v>
      </c>
      <c r="N33" s="4">
        <v>0</v>
      </c>
      <c r="O33" s="4">
        <v>1</v>
      </c>
      <c r="P33" s="4"/>
      <c r="Q33" s="4"/>
      <c r="R33" s="7">
        <f t="shared" si="8"/>
        <v>1</v>
      </c>
      <c r="S33" s="20"/>
    </row>
    <row r="34" spans="1:19" ht="24.95" customHeight="1" x14ac:dyDescent="0.3">
      <c r="A34" s="16"/>
      <c r="B34" s="15"/>
      <c r="C34" s="1" t="s">
        <v>42</v>
      </c>
      <c r="D34" s="4"/>
      <c r="E34" s="4"/>
      <c r="F34" s="4"/>
      <c r="G34" s="4"/>
      <c r="H34" s="7"/>
      <c r="I34" s="4"/>
      <c r="J34" s="4"/>
      <c r="K34" s="4">
        <v>1</v>
      </c>
      <c r="L34" s="4">
        <v>1</v>
      </c>
      <c r="M34" s="7">
        <f t="shared" si="7"/>
        <v>2</v>
      </c>
      <c r="N34" s="4">
        <v>0</v>
      </c>
      <c r="O34" s="4">
        <v>1</v>
      </c>
      <c r="P34" s="4"/>
      <c r="Q34" s="4"/>
      <c r="R34" s="7">
        <f t="shared" si="8"/>
        <v>1</v>
      </c>
      <c r="S34" s="20"/>
    </row>
    <row r="35" spans="1:19" ht="24.95" customHeight="1" x14ac:dyDescent="0.3">
      <c r="A35" s="16"/>
      <c r="B35" s="15"/>
      <c r="C35" s="9" t="s">
        <v>7</v>
      </c>
      <c r="D35" s="7"/>
      <c r="E35" s="7"/>
      <c r="F35" s="7">
        <f t="shared" ref="F35:O35" si="9">SUM(F24:F34)</f>
        <v>21</v>
      </c>
      <c r="G35" s="7">
        <f t="shared" si="9"/>
        <v>3</v>
      </c>
      <c r="H35" s="7">
        <f t="shared" ref="H35:M35" si="10">SUM(H24:H34)</f>
        <v>24</v>
      </c>
      <c r="I35" s="7">
        <f t="shared" si="10"/>
        <v>7</v>
      </c>
      <c r="J35" s="7">
        <f t="shared" si="10"/>
        <v>20</v>
      </c>
      <c r="K35" s="7">
        <f t="shared" si="10"/>
        <v>5</v>
      </c>
      <c r="L35" s="7">
        <f t="shared" si="10"/>
        <v>5</v>
      </c>
      <c r="M35" s="7">
        <f t="shared" si="10"/>
        <v>37</v>
      </c>
      <c r="N35" s="7">
        <f t="shared" si="9"/>
        <v>12</v>
      </c>
      <c r="O35" s="7">
        <f t="shared" si="9"/>
        <v>17</v>
      </c>
      <c r="P35" s="7"/>
      <c r="Q35" s="7"/>
      <c r="R35" s="7">
        <f>SUM(R24:R34)</f>
        <v>29</v>
      </c>
      <c r="S35" s="21"/>
    </row>
    <row r="36" spans="1:19" ht="24.95" customHeight="1" x14ac:dyDescent="0.3">
      <c r="A36" s="17" t="s">
        <v>43</v>
      </c>
      <c r="B36" s="15">
        <v>32</v>
      </c>
      <c r="C36" s="1" t="s">
        <v>44</v>
      </c>
      <c r="D36" s="4"/>
      <c r="E36" s="4"/>
      <c r="F36" s="4"/>
      <c r="G36" s="4"/>
      <c r="H36" s="7"/>
      <c r="I36" s="4">
        <v>1</v>
      </c>
      <c r="J36" s="4"/>
      <c r="K36" s="4">
        <v>2</v>
      </c>
      <c r="L36" s="4"/>
      <c r="M36" s="7">
        <f>SUM(I36:L36)</f>
        <v>3</v>
      </c>
      <c r="N36" s="4">
        <v>1</v>
      </c>
      <c r="O36" s="4"/>
      <c r="P36" s="4"/>
      <c r="Q36" s="4"/>
      <c r="R36" s="14">
        <f>SUM(N36:Q36)</f>
        <v>1</v>
      </c>
      <c r="S36" s="19">
        <f>SUM(H44,M44,R44)</f>
        <v>56</v>
      </c>
    </row>
    <row r="37" spans="1:19" ht="24.95" customHeight="1" x14ac:dyDescent="0.3">
      <c r="A37" s="16"/>
      <c r="B37" s="15"/>
      <c r="C37" s="1" t="s">
        <v>45</v>
      </c>
      <c r="D37" s="4"/>
      <c r="E37" s="4"/>
      <c r="F37" s="4"/>
      <c r="G37" s="4"/>
      <c r="H37" s="7"/>
      <c r="I37" s="4">
        <v>3</v>
      </c>
      <c r="J37" s="4"/>
      <c r="K37" s="4">
        <v>2</v>
      </c>
      <c r="L37" s="4"/>
      <c r="M37" s="7">
        <f t="shared" ref="M37:M43" si="11">SUM(I37:L37)</f>
        <v>5</v>
      </c>
      <c r="N37" s="4">
        <v>4</v>
      </c>
      <c r="O37" s="4"/>
      <c r="P37" s="4"/>
      <c r="Q37" s="4"/>
      <c r="R37" s="14">
        <f t="shared" ref="R37:R43" si="12">SUM(N37:Q37)</f>
        <v>4</v>
      </c>
      <c r="S37" s="20"/>
    </row>
    <row r="38" spans="1:19" ht="24.95" customHeight="1" x14ac:dyDescent="0.3">
      <c r="A38" s="16"/>
      <c r="B38" s="15"/>
      <c r="C38" s="1" t="s">
        <v>46</v>
      </c>
      <c r="D38" s="4"/>
      <c r="E38" s="4"/>
      <c r="F38" s="4"/>
      <c r="G38" s="4"/>
      <c r="H38" s="7"/>
      <c r="I38" s="4">
        <v>1</v>
      </c>
      <c r="J38" s="4"/>
      <c r="K38" s="4">
        <v>1</v>
      </c>
      <c r="L38" s="4"/>
      <c r="M38" s="7">
        <f t="shared" si="11"/>
        <v>2</v>
      </c>
      <c r="N38" s="4">
        <v>0</v>
      </c>
      <c r="O38" s="4"/>
      <c r="P38" s="4"/>
      <c r="Q38" s="4"/>
      <c r="R38" s="14">
        <f t="shared" si="12"/>
        <v>0</v>
      </c>
      <c r="S38" s="20"/>
    </row>
    <row r="39" spans="1:19" ht="24.95" customHeight="1" x14ac:dyDescent="0.3">
      <c r="A39" s="16"/>
      <c r="B39" s="15"/>
      <c r="C39" s="1" t="s">
        <v>47</v>
      </c>
      <c r="D39" s="4"/>
      <c r="E39" s="4"/>
      <c r="F39" s="4"/>
      <c r="G39" s="4"/>
      <c r="H39" s="7"/>
      <c r="I39" s="4">
        <v>2</v>
      </c>
      <c r="J39" s="4"/>
      <c r="K39" s="4"/>
      <c r="L39" s="4"/>
      <c r="M39" s="7">
        <f t="shared" si="11"/>
        <v>2</v>
      </c>
      <c r="N39" s="4">
        <v>1</v>
      </c>
      <c r="O39" s="4">
        <v>1</v>
      </c>
      <c r="P39" s="4"/>
      <c r="Q39" s="4"/>
      <c r="R39" s="14">
        <f t="shared" si="12"/>
        <v>2</v>
      </c>
      <c r="S39" s="20"/>
    </row>
    <row r="40" spans="1:19" ht="24.95" customHeight="1" x14ac:dyDescent="0.3">
      <c r="A40" s="16"/>
      <c r="B40" s="15"/>
      <c r="C40" s="1" t="s">
        <v>48</v>
      </c>
      <c r="D40" s="4"/>
      <c r="E40" s="4"/>
      <c r="F40" s="4"/>
      <c r="G40" s="4"/>
      <c r="H40" s="7"/>
      <c r="I40" s="4">
        <v>0</v>
      </c>
      <c r="J40" s="4"/>
      <c r="K40" s="4"/>
      <c r="L40" s="4"/>
      <c r="M40" s="7">
        <f t="shared" si="11"/>
        <v>0</v>
      </c>
      <c r="N40" s="4">
        <v>4</v>
      </c>
      <c r="O40" s="4"/>
      <c r="P40" s="4"/>
      <c r="Q40" s="4"/>
      <c r="R40" s="14">
        <f t="shared" si="12"/>
        <v>4</v>
      </c>
      <c r="S40" s="20"/>
    </row>
    <row r="41" spans="1:19" ht="24.95" customHeight="1" x14ac:dyDescent="0.3">
      <c r="A41" s="16"/>
      <c r="B41" s="15"/>
      <c r="C41" s="1" t="s">
        <v>49</v>
      </c>
      <c r="D41" s="4"/>
      <c r="E41" s="4"/>
      <c r="F41" s="4"/>
      <c r="G41" s="4"/>
      <c r="H41" s="7"/>
      <c r="I41" s="4">
        <v>6</v>
      </c>
      <c r="J41" s="4"/>
      <c r="K41" s="4"/>
      <c r="L41" s="4"/>
      <c r="M41" s="7">
        <f t="shared" si="11"/>
        <v>6</v>
      </c>
      <c r="N41" s="4">
        <v>2</v>
      </c>
      <c r="O41" s="4">
        <v>3</v>
      </c>
      <c r="P41" s="4"/>
      <c r="Q41" s="4"/>
      <c r="R41" s="14">
        <f t="shared" si="12"/>
        <v>5</v>
      </c>
      <c r="S41" s="20"/>
    </row>
    <row r="42" spans="1:19" ht="24.95" customHeight="1" x14ac:dyDescent="0.3">
      <c r="A42" s="16"/>
      <c r="B42" s="15"/>
      <c r="C42" s="1" t="s">
        <v>50</v>
      </c>
      <c r="D42" s="4"/>
      <c r="E42" s="4"/>
      <c r="F42" s="4"/>
      <c r="G42" s="4"/>
      <c r="H42" s="7"/>
      <c r="I42" s="4">
        <v>9</v>
      </c>
      <c r="J42" s="4"/>
      <c r="K42" s="4"/>
      <c r="L42" s="4"/>
      <c r="M42" s="7">
        <f t="shared" si="11"/>
        <v>9</v>
      </c>
      <c r="N42" s="4">
        <v>5</v>
      </c>
      <c r="O42" s="4">
        <v>2</v>
      </c>
      <c r="P42" s="4"/>
      <c r="Q42" s="4"/>
      <c r="R42" s="14">
        <f t="shared" si="12"/>
        <v>7</v>
      </c>
      <c r="S42" s="20"/>
    </row>
    <row r="43" spans="1:19" ht="24.95" customHeight="1" x14ac:dyDescent="0.3">
      <c r="A43" s="16"/>
      <c r="B43" s="15"/>
      <c r="C43" s="1" t="s">
        <v>30</v>
      </c>
      <c r="D43" s="4"/>
      <c r="E43" s="4"/>
      <c r="F43" s="4"/>
      <c r="G43" s="4"/>
      <c r="H43" s="7"/>
      <c r="I43" s="4">
        <v>2</v>
      </c>
      <c r="J43" s="4"/>
      <c r="K43" s="4">
        <v>3</v>
      </c>
      <c r="L43" s="4"/>
      <c r="M43" s="7">
        <f t="shared" si="11"/>
        <v>5</v>
      </c>
      <c r="N43" s="4">
        <v>1</v>
      </c>
      <c r="O43" s="4"/>
      <c r="P43" s="4"/>
      <c r="Q43" s="4"/>
      <c r="R43" s="14">
        <f t="shared" si="12"/>
        <v>1</v>
      </c>
      <c r="S43" s="20"/>
    </row>
    <row r="44" spans="1:19" ht="24.95" customHeight="1" x14ac:dyDescent="0.3">
      <c r="A44" s="16"/>
      <c r="B44" s="15"/>
      <c r="C44" s="9" t="s">
        <v>7</v>
      </c>
      <c r="D44" s="7"/>
      <c r="E44" s="7"/>
      <c r="F44" s="7"/>
      <c r="G44" s="7"/>
      <c r="H44" s="7"/>
      <c r="I44" s="7">
        <f t="shared" ref="I44:O44" si="13">SUM(I36:I43)</f>
        <v>24</v>
      </c>
      <c r="J44" s="7"/>
      <c r="K44" s="7">
        <f t="shared" si="13"/>
        <v>8</v>
      </c>
      <c r="L44" s="7"/>
      <c r="M44" s="7">
        <f t="shared" si="13"/>
        <v>32</v>
      </c>
      <c r="N44" s="7">
        <f t="shared" si="13"/>
        <v>18</v>
      </c>
      <c r="O44" s="7">
        <f t="shared" si="13"/>
        <v>6</v>
      </c>
      <c r="P44" s="7"/>
      <c r="Q44" s="7"/>
      <c r="R44" s="14">
        <f>SUM(R36:R43)</f>
        <v>24</v>
      </c>
      <c r="S44" s="21"/>
    </row>
    <row r="45" spans="1:19" ht="24.95" customHeight="1" x14ac:dyDescent="0.3">
      <c r="A45" s="17" t="s">
        <v>51</v>
      </c>
      <c r="B45" s="15">
        <v>30</v>
      </c>
      <c r="C45" s="1" t="s">
        <v>52</v>
      </c>
      <c r="D45" s="10"/>
      <c r="E45" s="10"/>
      <c r="F45" s="11"/>
      <c r="G45" s="10"/>
      <c r="H45" s="7"/>
      <c r="I45" s="10"/>
      <c r="J45" s="10"/>
      <c r="K45" s="12">
        <v>0</v>
      </c>
      <c r="L45" s="13"/>
      <c r="M45" s="14">
        <f>SUM(I45:L45)</f>
        <v>0</v>
      </c>
      <c r="N45" s="12">
        <v>4</v>
      </c>
      <c r="O45" s="12"/>
      <c r="P45" s="13"/>
      <c r="Q45" s="13"/>
      <c r="R45" s="14">
        <f>SUM(N45:Q45)</f>
        <v>4</v>
      </c>
      <c r="S45" s="19">
        <f>SUM(H52,M52,R52)</f>
        <v>60</v>
      </c>
    </row>
    <row r="46" spans="1:19" ht="24.95" customHeight="1" x14ac:dyDescent="0.3">
      <c r="A46" s="17"/>
      <c r="B46" s="15"/>
      <c r="C46" s="1" t="s">
        <v>53</v>
      </c>
      <c r="D46" s="10"/>
      <c r="E46" s="10"/>
      <c r="F46" s="11"/>
      <c r="G46" s="10"/>
      <c r="H46" s="7"/>
      <c r="I46" s="10"/>
      <c r="J46" s="10"/>
      <c r="K46" s="12">
        <v>7</v>
      </c>
      <c r="L46" s="13"/>
      <c r="M46" s="14">
        <f t="shared" ref="M46:M51" si="14">SUM(I46:L46)</f>
        <v>7</v>
      </c>
      <c r="N46" s="12">
        <v>5</v>
      </c>
      <c r="O46" s="12"/>
      <c r="P46" s="13"/>
      <c r="Q46" s="13"/>
      <c r="R46" s="14">
        <f>SUM(N46:Q46)</f>
        <v>5</v>
      </c>
      <c r="S46" s="20"/>
    </row>
    <row r="47" spans="1:19" ht="24.95" customHeight="1" x14ac:dyDescent="0.3">
      <c r="A47" s="16"/>
      <c r="B47" s="15"/>
      <c r="C47" s="1" t="s">
        <v>54</v>
      </c>
      <c r="D47" s="10"/>
      <c r="E47" s="10"/>
      <c r="F47" s="11"/>
      <c r="G47" s="10"/>
      <c r="H47" s="7"/>
      <c r="I47" s="10"/>
      <c r="J47" s="10"/>
      <c r="K47" s="12">
        <v>7</v>
      </c>
      <c r="L47" s="13"/>
      <c r="M47" s="14">
        <f t="shared" si="14"/>
        <v>7</v>
      </c>
      <c r="N47" s="12">
        <v>5</v>
      </c>
      <c r="O47" s="12"/>
      <c r="P47" s="13"/>
      <c r="Q47" s="13"/>
      <c r="R47" s="14">
        <f t="shared" ref="R47:R51" si="15">SUM(N47:Q47)</f>
        <v>5</v>
      </c>
      <c r="S47" s="20"/>
    </row>
    <row r="48" spans="1:19" ht="24.95" customHeight="1" x14ac:dyDescent="0.3">
      <c r="A48" s="16"/>
      <c r="B48" s="15"/>
      <c r="C48" s="1" t="s">
        <v>55</v>
      </c>
      <c r="D48" s="10"/>
      <c r="E48" s="10"/>
      <c r="F48" s="11"/>
      <c r="G48" s="10"/>
      <c r="H48" s="7"/>
      <c r="I48" s="10"/>
      <c r="J48" s="10"/>
      <c r="K48" s="12">
        <v>6</v>
      </c>
      <c r="L48" s="13"/>
      <c r="M48" s="14">
        <f t="shared" si="14"/>
        <v>6</v>
      </c>
      <c r="N48" s="12">
        <v>4</v>
      </c>
      <c r="O48" s="12"/>
      <c r="P48" s="13"/>
      <c r="Q48" s="13"/>
      <c r="R48" s="14">
        <f t="shared" si="15"/>
        <v>4</v>
      </c>
      <c r="S48" s="20"/>
    </row>
    <row r="49" spans="1:19" ht="24.95" customHeight="1" x14ac:dyDescent="0.3">
      <c r="A49" s="16"/>
      <c r="B49" s="15"/>
      <c r="C49" s="1" t="s">
        <v>56</v>
      </c>
      <c r="D49" s="10"/>
      <c r="E49" s="10"/>
      <c r="F49" s="11"/>
      <c r="G49" s="10"/>
      <c r="H49" s="7"/>
      <c r="I49" s="10"/>
      <c r="J49" s="10"/>
      <c r="K49" s="12">
        <v>6</v>
      </c>
      <c r="L49" s="13"/>
      <c r="M49" s="14">
        <f t="shared" si="14"/>
        <v>6</v>
      </c>
      <c r="N49" s="12">
        <v>6</v>
      </c>
      <c r="O49" s="12"/>
      <c r="P49" s="13"/>
      <c r="Q49" s="13"/>
      <c r="R49" s="14">
        <f t="shared" si="15"/>
        <v>6</v>
      </c>
      <c r="S49" s="20"/>
    </row>
    <row r="50" spans="1:19" ht="24.95" customHeight="1" x14ac:dyDescent="0.3">
      <c r="A50" s="16"/>
      <c r="B50" s="15"/>
      <c r="C50" s="1" t="s">
        <v>57</v>
      </c>
      <c r="D50" s="10"/>
      <c r="E50" s="10"/>
      <c r="F50" s="11"/>
      <c r="G50" s="10"/>
      <c r="H50" s="7"/>
      <c r="I50" s="10"/>
      <c r="J50" s="10"/>
      <c r="K50" s="12">
        <v>4</v>
      </c>
      <c r="L50" s="13"/>
      <c r="M50" s="14">
        <f t="shared" si="14"/>
        <v>4</v>
      </c>
      <c r="N50" s="12">
        <v>4</v>
      </c>
      <c r="O50" s="12"/>
      <c r="P50" s="13"/>
      <c r="Q50" s="13"/>
      <c r="R50" s="14">
        <f t="shared" si="15"/>
        <v>4</v>
      </c>
      <c r="S50" s="20"/>
    </row>
    <row r="51" spans="1:19" ht="24.95" customHeight="1" x14ac:dyDescent="0.3">
      <c r="A51" s="16"/>
      <c r="B51" s="15"/>
      <c r="C51" s="1" t="s">
        <v>58</v>
      </c>
      <c r="D51" s="10"/>
      <c r="E51" s="10"/>
      <c r="F51" s="11"/>
      <c r="G51" s="10"/>
      <c r="H51" s="7"/>
      <c r="I51" s="10"/>
      <c r="J51" s="10"/>
      <c r="K51" s="12">
        <v>0</v>
      </c>
      <c r="L51" s="13"/>
      <c r="M51" s="14">
        <f t="shared" si="14"/>
        <v>0</v>
      </c>
      <c r="N51" s="12">
        <v>2</v>
      </c>
      <c r="O51" s="12"/>
      <c r="P51" s="13"/>
      <c r="Q51" s="13"/>
      <c r="R51" s="14">
        <f t="shared" si="15"/>
        <v>2</v>
      </c>
      <c r="S51" s="20"/>
    </row>
    <row r="52" spans="1:19" ht="24.95" customHeight="1" x14ac:dyDescent="0.3">
      <c r="A52" s="16"/>
      <c r="B52" s="15"/>
      <c r="C52" s="9" t="s">
        <v>7</v>
      </c>
      <c r="D52" s="7"/>
      <c r="E52" s="7"/>
      <c r="F52" s="7"/>
      <c r="G52" s="7"/>
      <c r="H52" s="7"/>
      <c r="I52" s="7"/>
      <c r="J52" s="7"/>
      <c r="K52" s="7">
        <f>SUM(K45:K51)</f>
        <v>30</v>
      </c>
      <c r="L52" s="7"/>
      <c r="M52" s="7">
        <f t="shared" ref="M52:N52" si="16">SUM(M45:M51)</f>
        <v>30</v>
      </c>
      <c r="N52" s="7">
        <f t="shared" si="16"/>
        <v>30</v>
      </c>
      <c r="O52" s="7"/>
      <c r="P52" s="7"/>
      <c r="Q52" s="7"/>
      <c r="R52" s="14">
        <f>SUM(R45:R51)</f>
        <v>30</v>
      </c>
      <c r="S52" s="21"/>
    </row>
    <row r="53" spans="1:19" ht="38.25" customHeight="1" x14ac:dyDescent="0.3">
      <c r="A53" t="s">
        <v>62</v>
      </c>
    </row>
    <row r="54" spans="1:19" ht="20.100000000000001" customHeight="1" x14ac:dyDescent="0.3"/>
    <row r="55" spans="1:19" ht="20.100000000000001" customHeight="1" x14ac:dyDescent="0.3"/>
    <row r="56" spans="1:19" ht="20.100000000000001" customHeight="1" x14ac:dyDescent="0.3"/>
    <row r="57" spans="1:19" ht="20.100000000000001" customHeight="1" x14ac:dyDescent="0.3"/>
    <row r="58" spans="1:19" ht="20.100000000000001" customHeight="1" x14ac:dyDescent="0.3"/>
    <row r="59" spans="1:19" ht="20.100000000000001" customHeight="1" x14ac:dyDescent="0.3"/>
    <row r="60" spans="1:19" ht="20.100000000000001" customHeight="1" x14ac:dyDescent="0.3"/>
    <row r="61" spans="1:19" ht="20.100000000000001" customHeight="1" x14ac:dyDescent="0.3"/>
    <row r="62" spans="1:19" ht="20.100000000000001" customHeight="1" x14ac:dyDescent="0.3"/>
    <row r="63" spans="1:19" ht="20.100000000000001" customHeight="1" x14ac:dyDescent="0.3"/>
    <row r="64" spans="1:19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</sheetData>
  <mergeCells count="24">
    <mergeCell ref="S45:S52"/>
    <mergeCell ref="A1:S1"/>
    <mergeCell ref="S3:S5"/>
    <mergeCell ref="S6:S16"/>
    <mergeCell ref="S17:S23"/>
    <mergeCell ref="S24:S35"/>
    <mergeCell ref="S36:S44"/>
    <mergeCell ref="A3:A5"/>
    <mergeCell ref="B3:B5"/>
    <mergeCell ref="C3:C5"/>
    <mergeCell ref="I4:M4"/>
    <mergeCell ref="N4:R4"/>
    <mergeCell ref="D4:H4"/>
    <mergeCell ref="A36:A44"/>
    <mergeCell ref="B36:B44"/>
    <mergeCell ref="A45:A52"/>
    <mergeCell ref="B45:B52"/>
    <mergeCell ref="D3:R3"/>
    <mergeCell ref="A24:A35"/>
    <mergeCell ref="B24:B35"/>
    <mergeCell ref="A17:A23"/>
    <mergeCell ref="B17:B23"/>
    <mergeCell ref="A6:A16"/>
    <mergeCell ref="B6:B16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교육전문대학원 신입생 충원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pcuser</cp:lastModifiedBy>
  <cp:lastPrinted>2026-03-19T08:02:50Z</cp:lastPrinted>
  <dcterms:created xsi:type="dcterms:W3CDTF">2026-03-12T04:28:34Z</dcterms:created>
  <dcterms:modified xsi:type="dcterms:W3CDTF">2026-03-20T06:55:35Z</dcterms:modified>
</cp:coreProperties>
</file>